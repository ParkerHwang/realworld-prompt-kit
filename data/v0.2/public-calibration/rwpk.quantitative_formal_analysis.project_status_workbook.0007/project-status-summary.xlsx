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/xl/workbook.xml" Id="R00000000000000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 Data" sheetId="1" r:id="R0000000000000005"/>
    <x:sheet xmlns:r="http://schemas.openxmlformats.org/officeDocument/2006/relationships" name="Status Summary" sheetId="2" r:id="R0000000000000006"/>
    <x:sheet xmlns:r="http://schemas.openxmlformats.org/officeDocument/2006/relationships" name="Assumptions" sheetId="3" r:id="R00000000000000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"/>
    <x:numFmt numFmtId="201" formatCode="yyyy-mm-dd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F6B8A"/>
      </x:patternFill>
    </x:fill>
    <x:fill>
      <x:patternFill patternType="solid">
        <x:fgColor rgb="FF17324D"/>
      </x:patternFill>
    </x:fill>
  </x:fills>
  <x:borders count="6">
    <x:border/>
    <x:border>
      <x:left style="thin">
        <x:color rgb="FF2F6B8A"/>
      </x:left>
      <x:top style="thin">
        <x:color rgb="FF2F6B8A"/>
      </x:top>
      <x:bottom style="thin">
        <x:color rgb="FF2F6B8A"/>
      </x:bottom>
    </x:border>
    <x:border>
      <x:top style="thin">
        <x:color rgb="FF2F6B8A"/>
      </x:top>
      <x:bottom style="thin">
        <x:color rgb="FF2F6B8A"/>
      </x:bottom>
    </x:border>
    <x:border>
      <x:right style="thin">
        <x:color rgb="FF2F6B8A"/>
      </x:right>
      <x:top style="thin">
        <x:color rgb="FF2F6B8A"/>
      </x:top>
      <x:bottom style="thin">
        <x:color rgb="FF2F6B8A"/>
      </x:bottom>
    </x:border>
    <x:border>
      <x:bottom style="thin">
        <x:color rgb="FFD7E1E7"/>
      </x:bottom>
    </x:border>
    <x:border>
      <x:top style="thin">
        <x:color rgb="FFD7E1E7"/>
      </x:top>
      <x:bottom style="thin">
        <x:color rgb="FFD7E1E7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200" fontId="0" fillId="0" borderId="4" xfId="0" applyNumberFormat="1" applyFont="1" applyFill="1" applyBorder="1" applyAlignment="1">
      <x:alignment vertical="center"/>
    </x:xf>
    <x:xf numFmtId="200" fontId="0" fillId="0" borderId="5" xfId="0" applyNumberFormat="1" applyFont="1" applyFill="1" applyBorder="1" applyAlignment="1">
      <x:alignment vertical="center"/>
    </x:xf>
    <x:xf numFmtId="201" fontId="0" fillId="0" borderId="4" xfId="0" applyNumberFormat="1" applyFont="1" applyFill="1" applyBorder="1" applyAlignment="1">
      <x:alignment vertical="center"/>
    </x:xf>
    <x:xf numFmtId="201" fontId="0" fillId="0" borderId="5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/xl/styles.xml" Id="R0000000000000002" /><Relationship Type="http://schemas.openxmlformats.org/officeDocument/2006/relationships/theme" Target="/xl/theme/theme1.xml" Id="R0000000000000003" /><Relationship Type="http://schemas.openxmlformats.org/officeDocument/2006/relationships/sharedStrings" Target="/xl/sharedStrings.xml" Id="R0000000000000004" /><Relationship Type="http://schemas.openxmlformats.org/officeDocument/2006/relationships/worksheet" Target="/xl/worksheets/sheet1.xml" Id="R0000000000000005" /><Relationship Type="http://schemas.openxmlformats.org/officeDocument/2006/relationships/worksheet" Target="/xl/worksheets/sheet2.xml" Id="R0000000000000006" /><Relationship Type="http://schemas.openxmlformats.org/officeDocument/2006/relationships/worksheet" Target="/xl/worksheets/sheet3.xml" Id="R0000000000000007" /></Relationships>
</file>

<file path=xl/drawings/_rels/drawing1.xml.rels><?xml version="1.0" encoding="utf-8"?><Relationships xmlns="http://schemas.openxmlformats.org/package/2006/relationships"><Relationship Type="http://schemas.openxmlformats.org/officeDocument/2006/relationships/chart" Target="/xl/drawings/charts/chart1.xml" Id="R000000000000000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Projects by status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Projects</c:v>
          </c:tx>
          <c:cat>
            <c:strRef>
              <c:f>'Status Summary'!$A$4:$A$6</c:f>
              <c:strCache>
                <c:ptCount val="0"/>
              </c:strCache>
            </c:strRef>
          </c:cat>
          <c:val>
            <c:numRef>
              <c:f>'Status Summary'!$B$4:$B$6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</xdr:row>
      <xdr:rowOff>0</xdr:rowOff>
    </xdr:from>
    <xdr:to>
      <xdr:col>13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00000000000000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?xml version="1.0" encoding="utf-8"?><Relationships xmlns="http://schemas.openxmlformats.org/package/2006/relationships"><Relationship Type="http://schemas.openxmlformats.org/officeDocument/2006/relationships/drawing" Target="/xl/drawings/drawing1.xml" Id="R000000000000000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8" customHeight="1">
      <x:c r="A1" s="9" t="str">
        <x:v>Project</x:v>
      </x:c>
      <x:c r="B1" s="10" t="str">
        <x:v>Owner</x:v>
      </x:c>
      <x:c r="C1" s="10" t="str">
        <x:v>Status</x:v>
      </x:c>
      <x:c r="D1" s="10" t="str">
        <x:v>Budget</x:v>
      </x:c>
      <x:c r="E1" s="10" t="str">
        <x:v>Budget Used</x:v>
      </x:c>
      <x:c r="F1" s="11" t="str">
        <x:v>Target Date</x:v>
      </x:c>
    </x:row>
    <x:row r="2">
      <x:c r="A2" s="14" t="str">
        <x:v>Atlas migration</x:v>
      </x:c>
      <x:c r="B2" s="14" t="str">
        <x:v>Operations</x:v>
      </x:c>
      <x:c r="C2" s="14" t="str">
        <x:v>On Track</x:v>
      </x:c>
      <x:c r="D2" s="16" t="n">
        <x:v>42000</x:v>
      </x:c>
      <x:c r="E2" s="16" t="n">
        <x:v>27400</x:v>
      </x:c>
      <x:c r="F2" s="18" t="n">
        <x:v>46249</x:v>
      </x:c>
    </x:row>
    <x:row r="3">
      <x:c r="A3" s="15" t="str">
        <x:v>Beacon onboarding</x:v>
      </x:c>
      <x:c r="B3" s="15" t="str">
        <x:v>Customer Success</x:v>
      </x:c>
      <x:c r="C3" s="15" t="str">
        <x:v>At Risk</x:v>
      </x:c>
      <x:c r="D3" s="17" t="n">
        <x:v>28000</x:v>
      </x:c>
      <x:c r="E3" s="17" t="n">
        <x:v>24100</x:v>
      </x:c>
      <x:c r="F3" s="19" t="n">
        <x:v>46234</x:v>
      </x:c>
    </x:row>
    <x:row r="4">
      <x:c r="A4" s="15" t="str">
        <x:v>Cobalt launch</x:v>
      </x:c>
      <x:c r="B4" s="15" t="str">
        <x:v>Marketing</x:v>
      </x:c>
      <x:c r="C4" s="15" t="str">
        <x:v>On Track</x:v>
      </x:c>
      <x:c r="D4" s="17" t="n">
        <x:v>35000</x:v>
      </x:c>
      <x:c r="E4" s="17" t="n">
        <x:v>18200</x:v>
      </x:c>
      <x:c r="F4" s="19" t="n">
        <x:v>46275</x:v>
      </x:c>
    </x:row>
    <x:row r="5">
      <x:c r="A5" s="15" t="str">
        <x:v>Delta controls</x:v>
      </x:c>
      <x:c r="B5" s="15" t="str">
        <x:v>Finance</x:v>
      </x:c>
      <x:c r="C5" s="15" t="str">
        <x:v>Blocked</x:v>
      </x:c>
      <x:c r="D5" s="17" t="n">
        <x:v>18000</x:v>
      </x:c>
      <x:c r="E5" s="17" t="n">
        <x:v>9600</x:v>
      </x:c>
      <x:c r="F5" s="19" t="n">
        <x:v>46235</x:v>
      </x:c>
    </x:row>
    <x:row r="6">
      <x:c r="A6" s="15" t="str">
        <x:v>Evergreen renewal</x:v>
      </x:c>
      <x:c r="B6" s="15" t="str">
        <x:v>Sales</x:v>
      </x:c>
      <x:c r="C6" s="15" t="str">
        <x:v>At Risk</x:v>
      </x:c>
      <x:c r="D6" s="17" t="n">
        <x:v>22000</x:v>
      </x:c>
      <x:c r="E6" s="17" t="n">
        <x:v>19600</x:v>
      </x:c>
      <x:c r="F6" s="19" t="n">
        <x:v>46254</x:v>
      </x:c>
    </x:row>
    <x:row r="7">
      <x:c r="A7" s="15" t="str">
        <x:v>Harbor training</x:v>
      </x:c>
      <x:c r="B7" s="15" t="str">
        <x:v>People</x:v>
      </x:c>
      <x:c r="C7" s="15" t="str">
        <x:v>On Track</x:v>
      </x:c>
      <x:c r="D7" s="17" t="n">
        <x:v>12000</x:v>
      </x:c>
      <x:c r="E7" s="17" t="n">
        <x:v>5400</x:v>
      </x:c>
      <x:c r="F7" s="19" t="n">
        <x:v>46266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</x:cols>
  <x:sheetData>
    <x:row r="1" ht="34" customHeight="1">
      <x:c r="A1" s="22" t="str">
        <x:v>Project portfolio status</x:v>
      </x:c>
      <x:c r="B1" s="22"/>
      <x:c r="C1" s="22"/>
      <x:c r="D1" s="22"/>
    </x:row>
    <x:row r="3" ht="28" customHeight="1">
      <x:c r="A3" s="9" t="str">
        <x:v>Status</x:v>
      </x:c>
      <x:c r="B3" s="10" t="str">
        <x:v>Projects</x:v>
      </x:c>
      <x:c r="C3" s="10" t="str">
        <x:v>Budget</x:v>
      </x:c>
      <x:c r="D3" s="11" t="str">
        <x:v>Budget Used</x:v>
      </x:c>
    </x:row>
    <x:row r="4">
      <x:c r="A4" s="14" t="str">
        <x:v>On Track</x:v>
      </x:c>
      <x:c r="B4" s="14" t="n">
        <x:f>COUNTIF('Source Data'!$C$2:$C$7,A4)</x:f>
        <x:v>3</x:v>
      </x:c>
      <x:c r="C4" s="16" t="n">
        <x:f>SUMIF('Source Data'!$C$2:$C$7,A4,'Source Data'!$D$2:$D$7)</x:f>
        <x:v>89000</x:v>
      </x:c>
      <x:c r="D4" s="16" t="n">
        <x:f>SUMIF('Source Data'!$C$2:$C$7,A4,'Source Data'!$E$2:$E$7)</x:f>
        <x:v>51000</x:v>
      </x:c>
    </x:row>
    <x:row r="5">
      <x:c r="A5" s="15" t="str">
        <x:v>At Risk</x:v>
      </x:c>
      <x:c r="B5" s="15" t="n">
        <x:f>COUNTIF('Source Data'!$C$2:$C$7,A5)</x:f>
        <x:v>2</x:v>
      </x:c>
      <x:c r="C5" s="17" t="n">
        <x:f>SUMIF('Source Data'!$C$2:$C$7,A5,'Source Data'!$D$2:$D$7)</x:f>
        <x:v>50000</x:v>
      </x:c>
      <x:c r="D5" s="17" t="n">
        <x:f>SUMIF('Source Data'!$C$2:$C$7,A5,'Source Data'!$E$2:$E$7)</x:f>
        <x:v>43700</x:v>
      </x:c>
    </x:row>
    <x:row r="6">
      <x:c r="A6" s="15" t="str">
        <x:v>Blocked</x:v>
      </x:c>
      <x:c r="B6" s="15" t="n">
        <x:f>COUNTIF('Source Data'!$C$2:$C$7,A6)</x:f>
        <x:v>1</x:v>
      </x:c>
      <x:c r="C6" s="17" t="n">
        <x:f>SUMIF('Source Data'!$C$2:$C$7,A6,'Source Data'!$D$2:$D$7)</x:f>
        <x:v>18000</x:v>
      </x:c>
      <x:c r="D6" s="17" t="n">
        <x:f>SUMIF('Source Data'!$C$2:$C$7,A6,'Source Data'!$E$2:$E$7)</x:f>
        <x:v>9600</x:v>
      </x:c>
    </x:row>
  </x:sheetData>
  <x:mergeCells>
    <x:mergeCell ref="A1:D1"/>
  </x:mergeCells>
  <x:pageMargins left="0.7" right="0.7" top="0.75" bottom="0.75" header="0.3" footer="0.3"/>
  <x:drawing xmlns:r="http://schemas.openxmlformats.org/officeDocument/2006/relationships" r:id="R0000000000000009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8" hidden="0" customWidth="1"/>
  </x:cols>
  <x:sheetData>
    <x:row r="1" ht="34" customHeight="1">
      <x:c r="A1" s="22" t="str">
        <x:v>Assumptions and checks</x:v>
      </x:c>
      <x:c r="B1" s="22"/>
      <x:c r="C1" s="22"/>
    </x:row>
    <x:row r="3" ht="28" customHeight="1">
      <x:c r="A3" s="9" t="str">
        <x:v>Item</x:v>
      </x:c>
      <x:c r="B3" s="11" t="str">
        <x:v>Definition</x:v>
      </x:c>
    </x:row>
    <x:row r="4">
      <x:c r="A4" s="14" t="str">
        <x:v>Status</x:v>
      </x:c>
      <x:c r="B4" s="23" t="str">
        <x:v>Source values are treated as authoritative labels.</x:v>
      </x:c>
    </x:row>
    <x:row r="5">
      <x:c r="A5" s="15" t="str">
        <x:v>Currency</x:v>
      </x:c>
      <x:c r="B5" s="24" t="str">
        <x:v>All budget figures are synthetic US dollars.</x:v>
      </x:c>
    </x:row>
    <x:row r="6">
      <x:c r="A6" s="15" t="str">
        <x:v>Refresh</x:v>
      </x:c>
      <x:c r="B6" s="24" t="str">
        <x:v>Summary formulas update when source rows change within rows 2-7.</x:v>
      </x:c>
    </x:row>
  </x:sheetData>
  <x:mergeCells>
    <x:mergeCell ref="A1:C1"/>
  </x:mergeCells>
  <x:pageMargins left="0.7" right="0.7" top="0.75" bottom="0.75" header="0.3" footer="0.3"/>
</x:worksheet>
</file>