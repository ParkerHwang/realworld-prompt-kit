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ed Expenses" sheetId="1" r:id="R0000000000000005"/>
    <x:sheet xmlns:r="http://schemas.openxmlformats.org/officeDocument/2006/relationships" name="Checks" sheetId="2" r:id="R0000000000000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8A"/>
      </x:patternFill>
    </x:fill>
  </x:fills>
  <x:borders count="6">
    <x:border/>
    <x:border>
      <x:left style="thin">
        <x:color rgb="FF2F6B8A"/>
      </x:left>
      <x:top style="thin">
        <x:color rgb="FF2F6B8A"/>
      </x:top>
      <x:bottom style="thin">
        <x:color rgb="FF2F6B8A"/>
      </x:bottom>
    </x:border>
    <x:border>
      <x:top style="thin">
        <x:color rgb="FF2F6B8A"/>
      </x:top>
      <x:bottom style="thin">
        <x:color rgb="FF2F6B8A"/>
      </x:bottom>
    </x:border>
    <x:border>
      <x:right style="thin">
        <x:color rgb="FF2F6B8A"/>
      </x:right>
      <x:top style="thin">
        <x:color rgb="FF2F6B8A"/>
      </x:top>
      <x:bottom style="thin">
        <x:color rgb="FF2F6B8A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Relationship Type="http://schemas.openxmlformats.org/officeDocument/2006/relationships/worksheet" Target="/xl/worksheets/sheet2.xml" Id="R0000000000000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Expense table extraction</x:v>
      </x:c>
      <x:c r="B1" s="3"/>
      <x:c r="C1" s="3"/>
      <x:c r="D1" s="3"/>
      <x:c r="E1" s="3"/>
      <x:c r="F1" s="3"/>
    </x:row>
    <x:row r="3" ht="28" customHeight="1">
      <x:c r="A3" s="12" t="str">
        <x:v>Date</x:v>
      </x:c>
      <x:c r="B3" s="13" t="str">
        <x:v>Department</x:v>
      </x:c>
      <x:c r="C3" s="13" t="str">
        <x:v>Category</x:v>
      </x:c>
      <x:c r="D3" s="13" t="str">
        <x:v>Vendor</x:v>
      </x:c>
      <x:c r="E3" s="13" t="str">
        <x:v>Amount</x:v>
      </x:c>
      <x:c r="F3" s="14" t="str">
        <x:v>Receipt ID</x:v>
      </x:c>
    </x:row>
    <x:row r="4">
      <x:c r="A4" s="23" t="n">
        <x:v>46115</x:v>
      </x:c>
      <x:c r="B4" s="24" t="str">
        <x:v>Operations</x:v>
      </x:c>
      <x:c r="C4" s="24" t="str">
        <x:v>Shipping</x:v>
      </x:c>
      <x:c r="D4" s="24" t="str">
        <x:v>Cobalt Freight</x:v>
      </x:c>
      <x:c r="E4" s="25" t="n">
        <x:v>1280</x:v>
      </x:c>
      <x:c r="F4" s="24" t="str">
        <x:v>R-1041</x:v>
      </x:c>
    </x:row>
    <x:row r="5">
      <x:c r="A5" s="26" t="n">
        <x:v>46118</x:v>
      </x:c>
      <x:c r="B5" s="27" t="str">
        <x:v>People</x:v>
      </x:c>
      <x:c r="C5" s="27" t="str">
        <x:v>Training</x:v>
      </x:c>
      <x:c r="D5" s="27" t="str">
        <x:v>Northline Learning</x:v>
      </x:c>
      <x:c r="E5" s="28" t="n">
        <x:v>860</x:v>
      </x:c>
      <x:c r="F5" s="27" t="str">
        <x:v>R-1042</x:v>
      </x:c>
    </x:row>
    <x:row r="6">
      <x:c r="A6" s="26" t="n">
        <x:v>46121</x:v>
      </x:c>
      <x:c r="B6" s="27" t="str">
        <x:v>Sales</x:v>
      </x:c>
      <x:c r="C6" s="27" t="str">
        <x:v>Travel</x:v>
      </x:c>
      <x:c r="D6" s="27" t="str">
        <x:v>Harbor Rail</x:v>
      </x:c>
      <x:c r="E6" s="28" t="n">
        <x:v>420</x:v>
      </x:c>
      <x:c r="F6" s="27" t="str">
        <x:v>R-1043</x:v>
      </x:c>
    </x:row>
    <x:row r="7">
      <x:c r="A7" s="26" t="n">
        <x:v>46125</x:v>
      </x:c>
      <x:c r="B7" s="27" t="str">
        <x:v>Operations</x:v>
      </x:c>
      <x:c r="C7" s="27" t="str">
        <x:v>Supplies</x:v>
      </x:c>
      <x:c r="D7" s="27" t="str">
        <x:v>Beacon Office</x:v>
      </x:c>
      <x:c r="E7" s="28" t="n">
        <x:v>315</x:v>
      </x:c>
      <x:c r="F7" s="27" t="str">
        <x:v>R-1044</x:v>
      </x:c>
    </x:row>
    <x:row r="8">
      <x:c r="A8" s="26" t="n">
        <x:v>46130</x:v>
      </x:c>
      <x:c r="B8" s="27" t="str">
        <x:v>Marketing</x:v>
      </x:c>
      <x:c r="C8" s="27" t="str">
        <x:v>Events</x:v>
      </x:c>
      <x:c r="D8" s="27" t="str">
        <x:v>Civic Hall</x:v>
      </x:c>
      <x:c r="E8" s="28" t="n">
        <x:v>2100</x:v>
      </x:c>
      <x:c r="F8" s="27" t="str">
        <x:v>R-1045</x:v>
      </x:c>
    </x:row>
    <x:row r="9">
      <x:c r="A9" s="26" t="n">
        <x:v>46136</x:v>
      </x:c>
      <x:c r="B9" s="27" t="str">
        <x:v>People</x:v>
      </x:c>
      <x:c r="C9" s="27" t="str">
        <x:v>Recruiting</x:v>
      </x:c>
      <x:c r="D9" s="27" t="str">
        <x:v>Evergreen Jobs</x:v>
      </x:c>
      <x:c r="E9" s="28" t="n">
        <x:v>740</x:v>
      </x:c>
      <x:c r="F9" s="27" t="str">
        <x:v>R-1046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3" t="str">
        <x:v>Extraction checks</x:v>
      </x:c>
      <x:c r="B1" s="3"/>
      <x:c r="C1" s="3"/>
      <x:c r="D1" s="3"/>
    </x:row>
    <x:row r="3" ht="28" customHeight="1">
      <x:c r="A3" s="12" t="str">
        <x:v>Check</x:v>
      </x:c>
      <x:c r="B3" s="14" t="str">
        <x:v>Result</x:v>
      </x:c>
    </x:row>
    <x:row r="4">
      <x:c r="A4" s="24" t="str">
        <x:v>Row count</x:v>
      </x:c>
      <x:c r="B4" s="24" t="n">
        <x:f>COUNTA('Extracted Expenses'!$A$4:$A$9)</x:f>
        <x:v>6</x:v>
      </x:c>
    </x:row>
    <x:row r="5">
      <x:c r="A5" s="27" t="str">
        <x:v>Amount total</x:v>
      </x:c>
      <x:c r="B5" s="28" t="n">
        <x:f>SUM('Extracted Expenses'!$E$4:$E$9)</x:f>
        <x:v>5715</x:v>
      </x:c>
    </x:row>
    <x:row r="6">
      <x:c r="A6" s="27" t="str">
        <x:v>Duplicate receipt IDs</x:v>
      </x:c>
      <x:c r="B6" s="27" t="n">
        <x:f>COUNTA('Extracted Expenses'!$F$4:$F$9)-COUNTA(_xlfn.UNIQUE('Extracted Expenses'!$F$4:$F$9))</x:f>
        <x:v>0</x:v>
      </x:c>
    </x:row>
  </x:sheetData>
  <x:mergeCells>
    <x:mergeCell ref="A1:D1"/>
  </x:mergeCells>
  <x:pageMargins left="0.7" right="0.7" top="0.75" bottom="0.75" header="0.3" footer="0.3"/>
</x:worksheet>
</file>