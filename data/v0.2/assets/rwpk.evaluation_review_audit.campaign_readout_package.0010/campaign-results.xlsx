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000000000000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Results" sheetId="1" r:id="R0000000000000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B8A"/>
      </x:patternFill>
    </x:fill>
  </x:fills>
  <x:borders count="6">
    <x:border/>
    <x:border>
      <x:left style="thin">
        <x:color rgb="FF2F6B8A"/>
      </x:left>
      <x:top style="thin">
        <x:color rgb="FF2F6B8A"/>
      </x:top>
      <x:bottom style="thin">
        <x:color rgb="FF2F6B8A"/>
      </x:bottom>
    </x:border>
    <x:border>
      <x:top style="thin">
        <x:color rgb="FF2F6B8A"/>
      </x:top>
      <x:bottom style="thin">
        <x:color rgb="FF2F6B8A"/>
      </x:bottom>
    </x:border>
    <x:border>
      <x:right style="thin">
        <x:color rgb="FF2F6B8A"/>
      </x:right>
      <x:top style="thin">
        <x:color rgb="FF2F6B8A"/>
      </x:top>
      <x:bottom style="thin">
        <x:color rgb="FF2F6B8A"/>
      </x:bottom>
    </x:border>
    <x:border>
      <x:bottom style="thin">
        <x:color rgb="FFD7E1E7"/>
      </x:bottom>
    </x:border>
    <x:border>
      <x:top style="thin">
        <x:color rgb="FFD7E1E7"/>
      </x:top>
      <x:bottom style="thin">
        <x:color rgb="FFD7E1E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0000000000000002" /><Relationship Type="http://schemas.openxmlformats.org/officeDocument/2006/relationships/theme" Target="/xl/theme/theme1.xml" Id="R0000000000000003" /><Relationship Type="http://schemas.openxmlformats.org/officeDocument/2006/relationships/sharedStrings" Target="/xl/sharedStrings.xml" Id="R0000000000000004" /><Relationship Type="http://schemas.openxmlformats.org/officeDocument/2006/relationships/worksheet" Target="/xl/worksheets/sheet1.xml" Id="R00000000000000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9" t="str">
        <x:v>Channel</x:v>
      </x:c>
      <x:c r="B1" s="10" t="str">
        <x:v>Spend</x:v>
      </x:c>
      <x:c r="C1" s="10" t="str">
        <x:v>Leads</x:v>
      </x:c>
      <x:c r="D1" s="10" t="str">
        <x:v>Qualified</x:v>
      </x:c>
      <x:c r="E1" s="10" t="str">
        <x:v>Pipeline</x:v>
      </x:c>
      <x:c r="F1" s="11" t="str">
        <x:v>Cost per qualified lead</x:v>
      </x:c>
    </x:row>
    <x:row r="2">
      <x:c r="A2" s="14" t="str">
        <x:v>Search</x:v>
      </x:c>
      <x:c r="B2" s="16" t="n">
        <x:v>24000</x:v>
      </x:c>
      <x:c r="C2" s="14" t="n">
        <x:v>720</x:v>
      </x:c>
      <x:c r="D2" s="14" t="n">
        <x:v>198</x:v>
      </x:c>
      <x:c r="E2" s="16" t="n">
        <x:v>310000</x:v>
      </x:c>
      <x:c r="F2" s="16" t="n">
        <x:f>B2/D2</x:f>
        <x:v>121.21212121212122</x:v>
      </x:c>
    </x:row>
    <x:row r="3">
      <x:c r="A3" s="15" t="str">
        <x:v>Events</x:v>
      </x:c>
      <x:c r="B3" s="17" t="n">
        <x:v>18000</x:v>
      </x:c>
      <x:c r="C3" s="15" t="n">
        <x:v>260</x:v>
      </x:c>
      <x:c r="D3" s="15" t="n">
        <x:v>104</x:v>
      </x:c>
      <x:c r="E3" s="17" t="n">
        <x:v>220000</x:v>
      </x:c>
      <x:c r="F3" s="17" t="n">
        <x:f>B3/D3</x:f>
        <x:v>173.07692307692307</x:v>
      </x:c>
    </x:row>
    <x:row r="4">
      <x:c r="A4" s="15" t="str">
        <x:v>Partner</x:v>
      </x:c>
      <x:c r="B4" s="17" t="n">
        <x:v>12000</x:v>
      </x:c>
      <x:c r="C4" s="15" t="n">
        <x:v>180</x:v>
      </x:c>
      <x:c r="D4" s="15" t="n">
        <x:v>92</x:v>
      </x:c>
      <x:c r="E4" s="17" t="n">
        <x:v>205000</x:v>
      </x:c>
      <x:c r="F4" s="17" t="n">
        <x:f>B4/D4</x:f>
        <x:v>130.43478260869566</x:v>
      </x:c>
    </x:row>
    <x:row r="5">
      <x:c r="A5" s="15" t="str">
        <x:v>Email</x:v>
      </x:c>
      <x:c r="B5" s="17" t="n">
        <x:v>6000</x:v>
      </x:c>
      <x:c r="C5" s="15" t="n">
        <x:v>420</x:v>
      </x:c>
      <x:c r="D5" s="15" t="n">
        <x:v>84</x:v>
      </x:c>
      <x:c r="E5" s="17" t="n">
        <x:v>98000</x:v>
      </x:c>
      <x:c r="F5" s="17" t="n">
        <x:f>B5/D5</x:f>
        <x:v>71.42857142857143</x:v>
      </x:c>
    </x:row>
  </x:sheetData>
  <x:pageMargins left="0.7" right="0.7" top="0.75" bottom="0.75" header="0.3" footer="0.3"/>
</x:worksheet>
</file>